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Identitas" sheetId="1" state="visible" r:id="rId3"/>
    <sheet name="1. Skrining Gizi" sheetId="2" state="visible" r:id="rId4"/>
    <sheet name="2. Asesmen Gizi" sheetId="3" state="visible" r:id="rId5"/>
    <sheet name="3. Diagnosis (PES)" sheetId="4" state="visible" r:id="rId6"/>
    <sheet name="4. Intervensi Gizi" sheetId="5" state="visible" r:id="rId7"/>
    <sheet name="5. Monitoring Harian" sheetId="6" state="visible" r:id="rId8"/>
    <sheet name="6. Ringkasan Pulang" sheetId="7" state="visible" r:id="rId9"/>
    <sheet name="7. Rekap Bulana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<sst xmlns="http://schemas.openxmlformats.org/spreadsheetml/2006/main" count="202" uniqueCount="178">
  <si>
    <t xml:space="preserve">FORMULIR ASUHAN GIZI TERSTANDAR (PAGT)</t>
  </si>
  <si>
    <t xml:space="preserve">RSUP/RSUD [Nama Rumah Sakit]  —  Instalasi Gizi</t>
  </si>
  <si>
    <t xml:space="preserve">LEGENDA: Sel berwarna KUNING adalah kolom yang WAJIB diisi oleh Ahli Gizi. Sel putih/abu-abu terisi otomatis oleh rumus atau merupakan label baku. Jangan mengubah struktur kolom/rumus.</t>
  </si>
  <si>
    <t xml:space="preserve">A. IDENTITAS RUMAH SAKIT</t>
  </si>
  <si>
    <t xml:space="preserve">Nama Rumah Sakit</t>
  </si>
  <si>
    <t xml:space="preserve">Kelas RS / Tipe</t>
  </si>
  <si>
    <t xml:space="preserve">Unit / Ruang Rawat</t>
  </si>
  <si>
    <t xml:space="preserve">No. Dokumen Formulir</t>
  </si>
  <si>
    <t xml:space="preserve">B. IDENTITAS PASIEN</t>
  </si>
  <si>
    <t xml:space="preserve">Nama Pasien</t>
  </si>
  <si>
    <t xml:space="preserve">No. Rekam Medis (RM)</t>
  </si>
  <si>
    <t xml:space="preserve">Tanggal Lahir / Usia</t>
  </si>
  <si>
    <t xml:space="preserve">Jenis Kelamin</t>
  </si>
  <si>
    <t xml:space="preserve">Tanggal Masuk Rawat Inap</t>
  </si>
  <si>
    <t xml:space="preserve">Ruang / Kelas Perawatan</t>
  </si>
  <si>
    <t xml:space="preserve">Diagnosis Medis (dari DPJP)</t>
  </si>
  <si>
    <t xml:space="preserve">DPJP (Dokter Penanggung Jawab)</t>
  </si>
  <si>
    <t xml:space="preserve">Ahli Gizi Penanggung Jawab</t>
  </si>
  <si>
    <t xml:space="preserve">No. Akun Ahli Gizi (Sistem)</t>
  </si>
  <si>
    <t xml:space="preserve">Rujukan format: Pedoman Pelayanan Gizi Rumah Sakit (PGRS) Kemenkes RI; Proses Asuhan Gizi Terstandar (PAGT) Kemenkes RI/PERSAGI. Formulir ini merupakan bagian dari Rekam Medis pasien.</t>
  </si>
  <si>
    <t xml:space="preserve">SKRINING GIZI AWAL</t>
  </si>
  <si>
    <t xml:space="preserve">Malnutrition Screening Tool (MST) — Dewasa</t>
  </si>
  <si>
    <t xml:space="preserve">MST — Malnutrition Screening Tool</t>
  </si>
  <si>
    <t xml:space="preserve">Pertanyaan Skrining</t>
  </si>
  <si>
    <t xml:space="preserve">Pilihan Jawaban</t>
  </si>
  <si>
    <t xml:space="preserve">Skor</t>
  </si>
  <si>
    <t xml:space="preserve">Keterangan</t>
  </si>
  <si>
    <t xml:space="preserve">1. Apakah pasien mengalami penurunan berat badan yang tidak diinginkan dalam 6 bulan terakhir?</t>
  </si>
  <si>
    <t xml:space="preserve">Tidak yakin (skor 2)</t>
  </si>
  <si>
    <t xml:space="preserve">Isi skor sesuai jawaban pasien</t>
  </si>
  <si>
    <t xml:space="preserve">   Jika Ya, berapa banyak penurunan BB?</t>
  </si>
  <si>
    <t xml:space="preserve">0,5 - 5 kg (skor 1) / 6-10 kg (skor 2) / 11-15 kg (skor 3) / &gt;15 kg (skor 4)</t>
  </si>
  <si>
    <t xml:space="preserve">2. Apakah nafsu makan pasien menurun karena tidak nafsu makan?</t>
  </si>
  <si>
    <t xml:space="preserve">Ya (skor 1) / Tidak (skor 0)</t>
  </si>
  <si>
    <t xml:space="preserve">TOTAL SKOR MST</t>
  </si>
  <si>
    <t xml:space="preserve">KATEGORI RISIKO (otomatis)</t>
  </si>
  <si>
    <t xml:space="preserve">Sumber: Malnutrition Screening Tool (MST) — digunakan sesuai Pedoman Pelayanan Gizi Rumah Sakit (PGRS) Kemenkes RI. Skor total ≥2 = berisiko malnutrisi, wajib dirujuk ke Ahli Gizi dalam 1x24 jam. Untuk pasien anak gunakan formulir Strong Kids/PYMS terpisah; untuk geriatri gunakan MNA-SF.</t>
  </si>
  <si>
    <t xml:space="preserve">ASESMEN GIZI</t>
  </si>
  <si>
    <t xml:space="preserve">5 Domain Data sesuai PAGT / IDNT</t>
  </si>
  <si>
    <t xml:space="preserve">1. RIWAYAT TERKAIT GIZI (Food/Nutrition-Related History)</t>
  </si>
  <si>
    <t xml:space="preserve">Pola makan sebelum sakit</t>
  </si>
  <si>
    <t xml:space="preserve">Alergi makanan</t>
  </si>
  <si>
    <t xml:space="preserve">Pantangan makanan (budaya/agama/medis)</t>
  </si>
  <si>
    <t xml:space="preserve">Hasil Recall 24 Jam (ringkasan asupan)</t>
  </si>
  <si>
    <t xml:space="preserve">Estimasi asupan energi saat ini (kkal/hari)</t>
  </si>
  <si>
    <t xml:space="preserve">2. DATA ANTROPOMETRI</t>
  </si>
  <si>
    <t xml:space="preserve">Parameter</t>
  </si>
  <si>
    <t xml:space="preserve">Nilai</t>
  </si>
  <si>
    <t xml:space="preserve">Satuan</t>
  </si>
  <si>
    <t xml:space="preserve">Hasil Hitung Otomatis</t>
  </si>
  <si>
    <t xml:space="preserve">Kategori</t>
  </si>
  <si>
    <t xml:space="preserve">Berat Badan (BB)</t>
  </si>
  <si>
    <t xml:space="preserve">kg</t>
  </si>
  <si>
    <t xml:space="preserve">Tinggi Badan (TB)</t>
  </si>
  <si>
    <t xml:space="preserve">cm</t>
  </si>
  <si>
    <t xml:space="preserve">Lingkar Lengan Atas (LILA)</t>
  </si>
  <si>
    <t xml:space="preserve">Indeks Massa Tubuh (IMT)</t>
  </si>
  <si>
    <t xml:space="preserve">kg/m2</t>
  </si>
  <si>
    <t xml:space="preserve">Kategori IMT mengacu pada ambang batas IMT Kemenkes RI (Depkes RI, Kategori Ambang Batas IMT untuk Indonesia).</t>
  </si>
  <si>
    <t xml:space="preserve">3. DATA BIOKIMIA (Hasil Laboratorium)</t>
  </si>
  <si>
    <t xml:space="preserve">Hasil</t>
  </si>
  <si>
    <t xml:space="preserve">Nilai Rujukan Normal</t>
  </si>
  <si>
    <t xml:space="preserve">Interpretasi</t>
  </si>
  <si>
    <t xml:space="preserve">Hemoglobin (Hb)</t>
  </si>
  <si>
    <t xml:space="preserve">g/dL</t>
  </si>
  <si>
    <t xml:space="preserve">13.0 - 17.0 (Pria) / 12.0 - 15.0 (Wanita)</t>
  </si>
  <si>
    <t xml:space="preserve">Albumin</t>
  </si>
  <si>
    <t xml:space="preserve">3.5 - 5.0</t>
  </si>
  <si>
    <t xml:space="preserve">Gula Darah Sewaktu (GDS)</t>
  </si>
  <si>
    <t xml:space="preserve">mg/dL</t>
  </si>
  <si>
    <t xml:space="preserve">&lt; 200</t>
  </si>
  <si>
    <t xml:space="preserve">Ureum</t>
  </si>
  <si>
    <t xml:space="preserve">10 - 50</t>
  </si>
  <si>
    <t xml:space="preserve">Kreatinin</t>
  </si>
  <si>
    <t xml:space="preserve">0.6 - 1.3</t>
  </si>
  <si>
    <t xml:space="preserve">4. PEMERIKSAAN FISIK KLINIS TERKAIT GIZI</t>
  </si>
  <si>
    <t xml:space="preserve">Tanda Klinis</t>
  </si>
  <si>
    <t xml:space="preserve">Ada / Tidak Ada</t>
  </si>
  <si>
    <t xml:space="preserve">Edema (bengkak)</t>
  </si>
  <si>
    <t xml:space="preserve">Wasting (penyusutan otot)</t>
  </si>
  <si>
    <t xml:space="preserve">Kondisi kulit abnormal</t>
  </si>
  <si>
    <t xml:space="preserve">Kondisi rambut/kuku abnormal</t>
  </si>
  <si>
    <t xml:space="preserve">Lemak subkutan menipis</t>
  </si>
  <si>
    <t xml:space="preserve">5. RIWAYAT KLIEN (Client History)</t>
  </si>
  <si>
    <t xml:space="preserve">Pekerjaan / Sosial-Ekonomi</t>
  </si>
  <si>
    <t xml:space="preserve">Riwayat Penyakit Terdahulu</t>
  </si>
  <si>
    <t xml:space="preserve">Obat-obatan yang Dikonsumsi</t>
  </si>
  <si>
    <t xml:space="preserve">Riwayat Penyakit Keluarga</t>
  </si>
  <si>
    <t xml:space="preserve">Struktur 5 domain sesuai Proses Asuhan Gizi Terstandar (PAGT) Kemenkes RI dan International Dietetics and Nutrition Terminology (IDNT).</t>
  </si>
  <si>
    <t xml:space="preserve">DIAGNOSIS GIZI</t>
  </si>
  <si>
    <t xml:space="preserve">Format PES (Problem - Etiology - Symptom) sesuai IDNT</t>
  </si>
  <si>
    <t xml:space="preserve">Domain</t>
  </si>
  <si>
    <t xml:space="preserve">Kode IDNT</t>
  </si>
  <si>
    <t xml:space="preserve">Problem (P)</t>
  </si>
  <si>
    <t xml:space="preserve">Etiology (E)</t>
  </si>
  <si>
    <t xml:space="preserve">Symptom/Sign (S)</t>
  </si>
  <si>
    <t xml:space="preserve">Kalimat PES Lengkap</t>
  </si>
  <si>
    <t xml:space="preserve">Asupan (Intake)</t>
  </si>
  <si>
    <t xml:space="preserve">Klinis (Clinical)</t>
  </si>
  <si>
    <t xml:space="preserve">Perilaku-Lingkungan (Behavioral-Environmental)</t>
  </si>
  <si>
    <t xml:space="preserve">Contoh format: 'NI-2.1 Asupan oral inadekuat (P) berkaitan dengan mual pasca kemoterapi (E) ditandai dengan asupan hanya 50% dari kebutuhan estimasi (S)'. Kode &amp; terminologi wajib mengacu International Dietetics and Nutrition Terminology (IDNT), bukan istilah bebas.</t>
  </si>
  <si>
    <t xml:space="preserve">INTERVENSI GIZI</t>
  </si>
  <si>
    <t xml:space="preserve">Perhitungan Kebutuhan &amp; Preskripsi Diet</t>
  </si>
  <si>
    <t xml:space="preserve">A. PERHITUNGAN KEBUTUHAN ENERGI (Rumus Mifflin-St Jeor)</t>
  </si>
  <si>
    <t xml:space="preserve">Usia</t>
  </si>
  <si>
    <t xml:space="preserve">tahun</t>
  </si>
  <si>
    <t xml:space="preserve">Jenis Kelamin (L/P)</t>
  </si>
  <si>
    <t xml:space="preserve">Faktor Aktivitas</t>
  </si>
  <si>
    <t xml:space="preserve">Tirah baring 1.1-1.2 / Ringan 1.3 / Sedang 1.5</t>
  </si>
  <si>
    <t xml:space="preserve">Faktor Stres/Injury</t>
  </si>
  <si>
    <t xml:space="preserve">Sesuai kondisi klinis (mis. pasca-bedah, sepsis, luka bakar)</t>
  </si>
  <si>
    <t xml:space="preserve">BEE / REE (Basal/Resting Energy Expenditure)</t>
  </si>
  <si>
    <t xml:space="preserve">kkal/hari</t>
  </si>
  <si>
    <t xml:space="preserve">TEE (Total Energy Expenditure) — Kebutuhan Akhir</t>
  </si>
  <si>
    <t xml:space="preserve">Rumus BEE: Mifflin-St Jeor. Faktor aktivitas &amp; stres mengacu Pedoman Pelayanan Gizi Rumah Sakit (PGRS) Kemenkes RI. Hasil TEE adalah estimasi, keputusan akhir kebutuhan gizi tetap oleh Ahli Gizi.</t>
  </si>
  <si>
    <t xml:space="preserve">B. DISTRIBUSI MAKRONUTRIEN</t>
  </si>
  <si>
    <t xml:space="preserve">Zat Gizi</t>
  </si>
  <si>
    <t xml:space="preserve">% dari Total Energi</t>
  </si>
  <si>
    <t xml:space="preserve">Energi (kkal)</t>
  </si>
  <si>
    <t xml:space="preserve">Berat (gram)</t>
  </si>
  <si>
    <t xml:space="preserve">Karbohidrat</t>
  </si>
  <si>
    <t xml:space="preserve">4 kkal/gram</t>
  </si>
  <si>
    <t xml:space="preserve">Protein</t>
  </si>
  <si>
    <t xml:space="preserve">Lemak</t>
  </si>
  <si>
    <t xml:space="preserve">9 kkal/gram</t>
  </si>
  <si>
    <t xml:space="preserve">C. PRESKRIPSI DIET</t>
  </si>
  <si>
    <t xml:space="preserve">Jenis Diet (mis. Diet DM, Diet Rendah Garam, Diet Rendah Protein)</t>
  </si>
  <si>
    <t xml:space="preserve">Bentuk Makanan (Biasa/Lunak/Saring/Cair)</t>
  </si>
  <si>
    <t xml:space="preserve">Rute Pemberian (Oral/Enteral-NGT/Parenteral)</t>
  </si>
  <si>
    <t xml:space="preserve">Jadwal Pemberian Makan</t>
  </si>
  <si>
    <t xml:space="preserve">Suplementasi/Terapi Gizi Tambahan</t>
  </si>
  <si>
    <t xml:space="preserve">Nama Ahli Gizi &amp; Tanggal Preskripsi</t>
  </si>
  <si>
    <t xml:space="preserve">MONITORING &amp; EVALUASI GIZI HARIAN</t>
  </si>
  <si>
    <t xml:space="preserve">Asupan Makan (Comstock) &amp; Antropometri Berkala</t>
  </si>
  <si>
    <t xml:space="preserve">Tanggal</t>
  </si>
  <si>
    <t xml:space="preserve">BB (kg)</t>
  </si>
  <si>
    <t xml:space="preserve">Asupan
Pagi (%)</t>
  </si>
  <si>
    <t xml:space="preserve">Asupan
Siang (%)</t>
  </si>
  <si>
    <t xml:space="preserve">Asupan
Malam (%)</t>
  </si>
  <si>
    <t xml:space="preserve">Rata-rata
Asupan (%)</t>
  </si>
  <si>
    <t xml:space="preserve">Status
Risiko ML</t>
  </si>
  <si>
    <t xml:space="preserve">Catatan Ahli Gizi</t>
  </si>
  <si>
    <t xml:space="preserve">RATA-RATA PERIODE INI</t>
  </si>
  <si>
    <t xml:space="preserve">Metode penilaian sisa makanan (Comstock/plate waste) sesuai Pedoman Pelayanan Gizi Rumah Sakit (PGRS) Kemenkes RI. Kolom 'Status Risiko ML' diisi otomatis oleh modul prediksi risiko sistem (tampil sebagai sinyal bantu, bukan keputusan otomatis) — keputusan revisi diet tetap oleh Ahli Gizi.</t>
  </si>
  <si>
    <t xml:space="preserve">RINGKASAN PULANG GIZI (DISCHARGE SUMMARY)</t>
  </si>
  <si>
    <t xml:space="preserve">Evaluasi Akhir &amp; Rencana Tindak Lanjut</t>
  </si>
  <si>
    <t xml:space="preserve">A. STATUS GIZI AKHIR</t>
  </si>
  <si>
    <t xml:space="preserve">Berat Badan Akhir (kg)</t>
  </si>
  <si>
    <t xml:space="preserve">IMT Akhir</t>
  </si>
  <si>
    <t xml:space="preserve">Status Gizi Akhir (kategori)</t>
  </si>
  <si>
    <t xml:space="preserve">Capaian terhadap Target Intervensi</t>
  </si>
  <si>
    <t xml:space="preserve">Diagnosis Gizi Akhir (jika masih ada)</t>
  </si>
  <si>
    <t xml:space="preserve">B. RENCANA TINDAK LANJUT</t>
  </si>
  <si>
    <t xml:space="preserve">Rekomendasi Diet di Rumah</t>
  </si>
  <si>
    <t xml:space="preserve">Edukasi Gizi yang Diberikan</t>
  </si>
  <si>
    <t xml:space="preserve">Materi Edukasi (leaflet/link)</t>
  </si>
  <si>
    <t xml:space="preserve">Jadwal Kontrol Poli Gizi Rawat Jalan</t>
  </si>
  <si>
    <t xml:space="preserve">Catatan Khusus untuk Keluarga/Caregiver</t>
  </si>
  <si>
    <t xml:space="preserve">C. PENGESAHAN</t>
  </si>
  <si>
    <t xml:space="preserve">Nama Ahli Gizi</t>
  </si>
  <si>
    <t xml:space="preserve">Tanda Tangan (digital/scan)</t>
  </si>
  <si>
    <t xml:space="preserve">REKAPITULASI BULANAN PELAYANAN GIZI</t>
  </si>
  <si>
    <t xml:space="preserve">Untuk Kebutuhan Akreditasi (SNARS) &amp; Laporan Klaim BPJS</t>
  </si>
  <si>
    <t xml:space="preserve">Bulan / Tahun Laporan:</t>
  </si>
  <si>
    <t xml:space="preserve">No</t>
  </si>
  <si>
    <t xml:space="preserve">No. RM</t>
  </si>
  <si>
    <t xml:space="preserve">Ruangan</t>
  </si>
  <si>
    <t xml:space="preserve">Diagnosis Gizi (PES)</t>
  </si>
  <si>
    <t xml:space="preserve">Kategori
Risiko Awal</t>
  </si>
  <si>
    <t xml:space="preserve">Jenis Diet</t>
  </si>
  <si>
    <t xml:space="preserve">Status
(Pulang/Rawat)</t>
  </si>
  <si>
    <t xml:space="preserve">RINGKASAN STATISTIK BULANAN (otomatis)</t>
  </si>
  <si>
    <t xml:space="preserve">Total Pasien Dilayani</t>
  </si>
  <si>
    <t xml:space="preserve">Jumlah Berisiko Tinggi (kategori risiko = "Tinggi")</t>
  </si>
  <si>
    <t xml:space="preserve">Jumlah Berisiko Sedang</t>
  </si>
  <si>
    <t xml:space="preserve">Jumlah Berisiko Rendah/Normal</t>
  </si>
  <si>
    <t xml:space="preserve">Jumlah Pasien Sudah Pulang</t>
  </si>
  <si>
    <t xml:space="preserve">Isi kolom 'Kategori Risiko Awal' persis: Tinggi / Sedang / Rendah — agar rumus statistik terbaca benar (case-sensitive tidak berlaku, namun ejaan harus sama persis). Kolom 'Status' isi persis: Pulang / Rawat. Laporan ini merujuk struktur pelaporan pelayanan gizi untuk Standar Akreditasi Rumah Sakit (SNARS) — KARS.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</si>
</sst>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"/>
    <numFmt numFmtId="167" formatCode="0"/>
    <numFmt numFmtId="168" formatCode="0%"/>
    <numFmt numFmtId="169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D32"/>
        <bgColor rgb="FF008000"/>
      </patternFill>
    </fill>
    <fill>
      <patternFill patternType="solid">
        <fgColor rgb="FFFFF9C4"/>
        <bgColor rgb="FFFFFF99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22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8" hidden="false" customHeight="true" outlineLevel="0" collapsed="false">
      <c r="A6" s="4" t="s">
        <v>3</v>
      </c>
      <c r="B6" s="4"/>
      <c r="C6" s="4"/>
      <c r="D6" s="4"/>
      <c r="E6" s="4"/>
      <c r="F6" s="4"/>
    </row>
    <row r="7" customFormat="false" ht="15" hidden="false" customHeight="false" outlineLevel="0" collapsed="false">
      <c r="A7" s="5" t="s">
        <v>4</v>
      </c>
      <c r="B7" s="6"/>
      <c r="C7" s="6"/>
      <c r="D7" s="6"/>
      <c r="E7" s="6"/>
      <c r="F7" s="6"/>
    </row>
    <row r="8" customFormat="false" ht="15" hidden="false" customHeight="false" outlineLevel="0" collapsed="false">
      <c r="A8" s="5" t="s">
        <v>5</v>
      </c>
      <c r="B8" s="6"/>
      <c r="C8" s="6"/>
      <c r="D8" s="6"/>
      <c r="E8" s="6"/>
      <c r="F8" s="6"/>
    </row>
    <row r="9" customFormat="false" ht="15" hidden="false" customHeight="false" outlineLevel="0" collapsed="false">
      <c r="A9" s="5" t="s">
        <v>6</v>
      </c>
      <c r="B9" s="6"/>
      <c r="C9" s="6"/>
      <c r="D9" s="6"/>
      <c r="E9" s="6"/>
      <c r="F9" s="6"/>
    </row>
    <row r="10" customFormat="false" ht="15" hidden="false" customHeight="false" outlineLevel="0" collapsed="false">
      <c r="A10" s="5" t="s">
        <v>7</v>
      </c>
      <c r="B10" s="6"/>
      <c r="C10" s="6"/>
      <c r="D10" s="6"/>
      <c r="E10" s="6"/>
      <c r="F10" s="6"/>
    </row>
    <row r="12" customFormat="false" ht="18" hidden="false" customHeight="true" outlineLevel="0" collapsed="false">
      <c r="A12" s="4" t="s">
        <v>8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5" t="s">
        <v>9</v>
      </c>
      <c r="B13" s="6"/>
      <c r="C13" s="6"/>
      <c r="D13" s="6"/>
      <c r="E13" s="6"/>
      <c r="F13" s="6"/>
    </row>
    <row r="14" customFormat="false" ht="15" hidden="false" customHeight="false" outlineLevel="0" collapsed="false">
      <c r="A14" s="5" t="s">
        <v>10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5" t="s">
        <v>11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5" t="s">
        <v>12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5" t="s">
        <v>13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5" t="s">
        <v>14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5" t="s">
        <v>15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5" t="s">
        <v>16</v>
      </c>
      <c r="B20" s="6"/>
      <c r="C20" s="6"/>
      <c r="D20" s="6"/>
      <c r="E20" s="6"/>
      <c r="F20" s="6"/>
    </row>
    <row r="21" customFormat="false" ht="15" hidden="false" customHeight="false" outlineLevel="0" collapsed="false">
      <c r="A21" s="5" t="s">
        <v>17</v>
      </c>
      <c r="B21" s="6"/>
      <c r="C21" s="6"/>
      <c r="D21" s="6"/>
      <c r="E21" s="6"/>
      <c r="F21" s="6"/>
    </row>
    <row r="22" customFormat="false" ht="15" hidden="false" customHeight="false" outlineLevel="0" collapsed="false">
      <c r="A22" s="5" t="s">
        <v>18</v>
      </c>
      <c r="B22" s="6"/>
      <c r="C22" s="6"/>
      <c r="D22" s="6"/>
      <c r="E22" s="6"/>
      <c r="F22" s="6"/>
    </row>
    <row r="24" customFormat="false" ht="19.4" hidden="false" customHeight="true" outlineLevel="0" collapsed="false">
      <c r="A24" s="3" t="s">
        <v>19</v>
      </c>
      <c r="B24" s="3"/>
      <c r="C24" s="3"/>
      <c r="D24" s="3"/>
      <c r="E24" s="3"/>
      <c r="F24" s="3"/>
    </row>
  </sheetData>
  <mergeCells count="20">
    <mergeCell ref="A1:F1"/>
    <mergeCell ref="A2:F2"/>
    <mergeCell ref="A4:F4"/>
    <mergeCell ref="A6:F6"/>
    <mergeCell ref="B7:F7"/>
    <mergeCell ref="B8:F8"/>
    <mergeCell ref="B9:F9"/>
    <mergeCell ref="B10:F10"/>
    <mergeCell ref="A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21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</row>
    <row r="6" customFormat="false" ht="18" hidden="false" customHeight="true" outlineLevel="0" collapsed="false">
      <c r="A6" s="4" t="s">
        <v>22</v>
      </c>
      <c r="B6" s="4"/>
      <c r="C6" s="4"/>
      <c r="D6" s="4"/>
      <c r="E6" s="4"/>
    </row>
    <row r="7" customFormat="false" ht="30" hidden="false" customHeight="true" outlineLevel="0" collapsed="false">
      <c r="A7" s="7" t="s">
        <v>23</v>
      </c>
      <c r="B7" s="7" t="s">
        <v>24</v>
      </c>
      <c r="C7" s="7" t="s">
        <v>25</v>
      </c>
      <c r="D7" s="7"/>
      <c r="E7" s="7" t="s">
        <v>26</v>
      </c>
    </row>
    <row r="8" customFormat="false" ht="30" hidden="false" customHeight="true" outlineLevel="0" collapsed="false">
      <c r="A8" s="8" t="s">
        <v>27</v>
      </c>
      <c r="B8" s="8" t="s">
        <v>28</v>
      </c>
      <c r="C8" s="9" t="n">
        <v>0</v>
      </c>
      <c r="D8" s="10"/>
      <c r="E8" s="11" t="s">
        <v>29</v>
      </c>
    </row>
    <row r="9" customFormat="false" ht="30" hidden="false" customHeight="true" outlineLevel="0" collapsed="false">
      <c r="A9" s="8" t="s">
        <v>30</v>
      </c>
      <c r="B9" s="8" t="s">
        <v>31</v>
      </c>
      <c r="C9" s="9" t="n">
        <v>0</v>
      </c>
      <c r="D9" s="10"/>
      <c r="E9" s="11"/>
    </row>
    <row r="10" customFormat="false" ht="30" hidden="false" customHeight="true" outlineLevel="0" collapsed="false">
      <c r="A10" s="8" t="s">
        <v>32</v>
      </c>
      <c r="B10" s="8" t="s">
        <v>33</v>
      </c>
      <c r="C10" s="9" t="n">
        <v>0</v>
      </c>
      <c r="D10" s="10"/>
      <c r="E10" s="11"/>
    </row>
    <row r="11" customFormat="false" ht="15" hidden="false" customHeight="false" outlineLevel="0" collapsed="false">
      <c r="A11" s="5" t="s">
        <v>34</v>
      </c>
      <c r="B11" s="5"/>
      <c r="C11" s="12" t="n">
        <f aca="false">SUM(C8:C10)</f>
        <v>0</v>
      </c>
      <c r="D11" s="10"/>
      <c r="E11" s="10"/>
    </row>
    <row r="12" customFormat="false" ht="15" hidden="false" customHeight="false" outlineLevel="0" collapsed="false">
      <c r="A12" s="5" t="s">
        <v>35</v>
      </c>
      <c r="B12" s="5"/>
      <c r="C12" s="13" t="str">
        <f aca="false">IF(C11&gt;=2,"BERISIKO - Rujuk ke Ahli Gizi untuk Asesmen Lanjutan","TIDAK BERISIKO - Skrining ulang 7 hari")</f>
        <v>TIDAK BERISIKO - Skrining ulang 7 hari</v>
      </c>
      <c r="D12" s="13"/>
      <c r="E12" s="13"/>
    </row>
    <row r="14" customFormat="false" ht="19.4" hidden="false" customHeight="true" outlineLevel="0" collapsed="false">
      <c r="A14" s="3" t="s">
        <v>36</v>
      </c>
      <c r="B14" s="3"/>
      <c r="C14" s="3"/>
      <c r="D14" s="3"/>
      <c r="E14" s="3"/>
    </row>
  </sheetData>
  <mergeCells count="8">
    <mergeCell ref="A1:E1"/>
    <mergeCell ref="A2:E2"/>
    <mergeCell ref="A4:E4"/>
    <mergeCell ref="A6:E6"/>
    <mergeCell ref="A11:B11"/>
    <mergeCell ref="A12:B12"/>
    <mergeCell ref="C12:E1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37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38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</row>
    <row r="6" customFormat="false" ht="18" hidden="false" customHeight="true" outlineLevel="0" collapsed="false">
      <c r="A6" s="4" t="s">
        <v>39</v>
      </c>
      <c r="B6" s="4"/>
      <c r="C6" s="4"/>
      <c r="D6" s="4"/>
      <c r="E6" s="4"/>
    </row>
    <row r="7" customFormat="false" ht="15" hidden="false" customHeight="false" outlineLevel="0" collapsed="false">
      <c r="A7" s="5" t="s">
        <v>40</v>
      </c>
      <c r="B7" s="6"/>
      <c r="C7" s="6"/>
      <c r="D7" s="6"/>
      <c r="E7" s="6"/>
    </row>
    <row r="8" customFormat="false" ht="15" hidden="false" customHeight="false" outlineLevel="0" collapsed="false">
      <c r="A8" s="5" t="s">
        <v>41</v>
      </c>
      <c r="B8" s="6"/>
      <c r="C8" s="6"/>
      <c r="D8" s="6"/>
      <c r="E8" s="6"/>
    </row>
    <row r="9" customFormat="false" ht="15" hidden="false" customHeight="false" outlineLevel="0" collapsed="false">
      <c r="A9" s="5" t="s">
        <v>42</v>
      </c>
      <c r="B9" s="6"/>
      <c r="C9" s="6"/>
      <c r="D9" s="6"/>
      <c r="E9" s="6"/>
    </row>
    <row r="10" customFormat="false" ht="15" hidden="false" customHeight="false" outlineLevel="0" collapsed="false">
      <c r="A10" s="5" t="s">
        <v>43</v>
      </c>
      <c r="B10" s="6"/>
      <c r="C10" s="6"/>
      <c r="D10" s="6"/>
      <c r="E10" s="6"/>
    </row>
    <row r="11" customFormat="false" ht="15" hidden="false" customHeight="false" outlineLevel="0" collapsed="false">
      <c r="A11" s="5" t="s">
        <v>44</v>
      </c>
      <c r="B11" s="6"/>
      <c r="C11" s="6"/>
      <c r="D11" s="6"/>
      <c r="E11" s="6"/>
    </row>
    <row r="13" customFormat="false" ht="18" hidden="false" customHeight="true" outlineLevel="0" collapsed="false">
      <c r="A13" s="4" t="s">
        <v>45</v>
      </c>
      <c r="B13" s="4"/>
      <c r="C13" s="4"/>
      <c r="D13" s="4"/>
      <c r="E13" s="4"/>
    </row>
    <row r="14" customFormat="false" ht="30" hidden="false" customHeight="true" outlineLevel="0" collapsed="false">
      <c r="A14" s="7" t="s">
        <v>46</v>
      </c>
      <c r="B14" s="7" t="s">
        <v>47</v>
      </c>
      <c r="C14" s="7" t="s">
        <v>48</v>
      </c>
      <c r="D14" s="7" t="s">
        <v>49</v>
      </c>
      <c r="E14" s="7" t="s">
        <v>50</v>
      </c>
    </row>
    <row r="15" customFormat="false" ht="15" hidden="false" customHeight="false" outlineLevel="0" collapsed="false">
      <c r="A15" s="14" t="s">
        <v>51</v>
      </c>
      <c r="B15" s="6"/>
      <c r="C15" s="11" t="s">
        <v>52</v>
      </c>
      <c r="D15" s="10"/>
      <c r="E15" s="10"/>
    </row>
    <row r="16" customFormat="false" ht="15" hidden="false" customHeight="false" outlineLevel="0" collapsed="false">
      <c r="A16" s="14" t="s">
        <v>53</v>
      </c>
      <c r="B16" s="6"/>
      <c r="C16" s="11" t="s">
        <v>54</v>
      </c>
      <c r="D16" s="10"/>
      <c r="E16" s="10"/>
    </row>
    <row r="17" customFormat="false" ht="15" hidden="false" customHeight="false" outlineLevel="0" collapsed="false">
      <c r="A17" s="14" t="s">
        <v>55</v>
      </c>
      <c r="B17" s="6"/>
      <c r="C17" s="11" t="s">
        <v>54</v>
      </c>
      <c r="D17" s="10"/>
      <c r="E17" s="10"/>
    </row>
    <row r="18" customFormat="false" ht="15" hidden="false" customHeight="false" outlineLevel="0" collapsed="false">
      <c r="A18" s="5" t="s">
        <v>56</v>
      </c>
      <c r="B18" s="10"/>
      <c r="C18" s="11" t="s">
        <v>57</v>
      </c>
      <c r="D18" s="15" t="str">
        <f aca="false">IF(AND(B15&gt;0,B16&gt;0),B15/((B16/100)^2),"")</f>
        <v/>
      </c>
      <c r="E18" s="13" t="str">
        <f aca="false">IF(D18="","",IF(D18&lt;17,"Gizi Kurang Berat",IF(D18&lt;18.5,"Gizi Kurang",IF(D18&lt;=25,"Normal",IF(D18&lt;=27,"Gizi Lebih","Obesitas")))))</f>
        <v/>
      </c>
    </row>
    <row r="19" customFormat="false" ht="15" hidden="false" customHeight="true" outlineLevel="0" collapsed="false">
      <c r="A19" s="3" t="s">
        <v>58</v>
      </c>
      <c r="B19" s="3"/>
      <c r="C19" s="3"/>
      <c r="D19" s="3"/>
      <c r="E19" s="3"/>
    </row>
    <row r="21" customFormat="false" ht="18" hidden="false" customHeight="true" outlineLevel="0" collapsed="false">
      <c r="A21" s="4" t="s">
        <v>59</v>
      </c>
      <c r="B21" s="4"/>
      <c r="C21" s="4"/>
      <c r="D21" s="4"/>
      <c r="E21" s="4"/>
    </row>
    <row r="22" customFormat="false" ht="30" hidden="false" customHeight="true" outlineLevel="0" collapsed="false">
      <c r="A22" s="7" t="s">
        <v>46</v>
      </c>
      <c r="B22" s="7" t="s">
        <v>60</v>
      </c>
      <c r="C22" s="7" t="s">
        <v>48</v>
      </c>
      <c r="D22" s="7" t="s">
        <v>61</v>
      </c>
      <c r="E22" s="7" t="s">
        <v>62</v>
      </c>
    </row>
    <row r="23" customFormat="false" ht="15" hidden="false" customHeight="false" outlineLevel="0" collapsed="false">
      <c r="A23" s="14" t="s">
        <v>63</v>
      </c>
      <c r="B23" s="6"/>
      <c r="C23" s="11" t="s">
        <v>64</v>
      </c>
      <c r="D23" s="11" t="s">
        <v>65</v>
      </c>
      <c r="E23" s="6"/>
    </row>
    <row r="24" customFormat="false" ht="15" hidden="false" customHeight="false" outlineLevel="0" collapsed="false">
      <c r="A24" s="14" t="s">
        <v>66</v>
      </c>
      <c r="B24" s="6"/>
      <c r="C24" s="11" t="s">
        <v>64</v>
      </c>
      <c r="D24" s="11" t="s">
        <v>67</v>
      </c>
      <c r="E24" s="6"/>
    </row>
    <row r="25" customFormat="false" ht="15" hidden="false" customHeight="false" outlineLevel="0" collapsed="false">
      <c r="A25" s="14" t="s">
        <v>68</v>
      </c>
      <c r="B25" s="6"/>
      <c r="C25" s="11" t="s">
        <v>69</v>
      </c>
      <c r="D25" s="11" t="s">
        <v>70</v>
      </c>
      <c r="E25" s="6"/>
    </row>
    <row r="26" customFormat="false" ht="15" hidden="false" customHeight="false" outlineLevel="0" collapsed="false">
      <c r="A26" s="14" t="s">
        <v>71</v>
      </c>
      <c r="B26" s="6"/>
      <c r="C26" s="11" t="s">
        <v>69</v>
      </c>
      <c r="D26" s="11" t="s">
        <v>72</v>
      </c>
      <c r="E26" s="6"/>
    </row>
    <row r="27" customFormat="false" ht="15" hidden="false" customHeight="false" outlineLevel="0" collapsed="false">
      <c r="A27" s="14" t="s">
        <v>73</v>
      </c>
      <c r="B27" s="6"/>
      <c r="C27" s="11" t="s">
        <v>69</v>
      </c>
      <c r="D27" s="11" t="s">
        <v>74</v>
      </c>
      <c r="E27" s="6"/>
    </row>
    <row r="29" customFormat="false" ht="18" hidden="false" customHeight="true" outlineLevel="0" collapsed="false">
      <c r="A29" s="4" t="s">
        <v>75</v>
      </c>
      <c r="B29" s="4"/>
      <c r="C29" s="4"/>
      <c r="D29" s="4"/>
      <c r="E29" s="4"/>
    </row>
    <row r="30" customFormat="false" ht="30" hidden="false" customHeight="true" outlineLevel="0" collapsed="false">
      <c r="A30" s="7" t="s">
        <v>76</v>
      </c>
      <c r="B30" s="7" t="s">
        <v>77</v>
      </c>
      <c r="C30" s="7"/>
      <c r="D30" s="7"/>
      <c r="E30" s="7" t="s">
        <v>26</v>
      </c>
    </row>
    <row r="31" customFormat="false" ht="15" hidden="false" customHeight="false" outlineLevel="0" collapsed="false">
      <c r="A31" s="14" t="s">
        <v>78</v>
      </c>
      <c r="B31" s="6"/>
      <c r="C31" s="6"/>
      <c r="D31" s="6"/>
      <c r="E31" s="6"/>
    </row>
    <row r="32" customFormat="false" ht="15" hidden="false" customHeight="false" outlineLevel="0" collapsed="false">
      <c r="A32" s="14" t="s">
        <v>79</v>
      </c>
      <c r="B32" s="6"/>
      <c r="C32" s="6"/>
      <c r="D32" s="6"/>
      <c r="E32" s="6"/>
    </row>
    <row r="33" customFormat="false" ht="15" hidden="false" customHeight="false" outlineLevel="0" collapsed="false">
      <c r="A33" s="14" t="s">
        <v>80</v>
      </c>
      <c r="B33" s="6"/>
      <c r="C33" s="6"/>
      <c r="D33" s="6"/>
      <c r="E33" s="6"/>
    </row>
    <row r="34" customFormat="false" ht="15" hidden="false" customHeight="false" outlineLevel="0" collapsed="false">
      <c r="A34" s="14" t="s">
        <v>81</v>
      </c>
      <c r="B34" s="6"/>
      <c r="C34" s="6"/>
      <c r="D34" s="6"/>
      <c r="E34" s="6"/>
    </row>
    <row r="35" customFormat="false" ht="15" hidden="false" customHeight="false" outlineLevel="0" collapsed="false">
      <c r="A35" s="14" t="s">
        <v>82</v>
      </c>
      <c r="B35" s="6"/>
      <c r="C35" s="6"/>
      <c r="D35" s="6"/>
      <c r="E35" s="6"/>
    </row>
    <row r="37" customFormat="false" ht="18" hidden="false" customHeight="true" outlineLevel="0" collapsed="false">
      <c r="A37" s="4" t="s">
        <v>83</v>
      </c>
      <c r="B37" s="4"/>
      <c r="C37" s="4"/>
      <c r="D37" s="4"/>
      <c r="E37" s="4"/>
    </row>
    <row r="38" customFormat="false" ht="15" hidden="false" customHeight="false" outlineLevel="0" collapsed="false">
      <c r="A38" s="5" t="s">
        <v>84</v>
      </c>
      <c r="B38" s="6"/>
      <c r="C38" s="6"/>
      <c r="D38" s="6"/>
      <c r="E38" s="6"/>
    </row>
    <row r="39" customFormat="false" ht="15" hidden="false" customHeight="false" outlineLevel="0" collapsed="false">
      <c r="A39" s="5" t="s">
        <v>85</v>
      </c>
      <c r="B39" s="6"/>
      <c r="C39" s="6"/>
      <c r="D39" s="6"/>
      <c r="E39" s="6"/>
    </row>
    <row r="40" customFormat="false" ht="15" hidden="false" customHeight="false" outlineLevel="0" collapsed="false">
      <c r="A40" s="5" t="s">
        <v>86</v>
      </c>
      <c r="B40" s="6"/>
      <c r="C40" s="6"/>
      <c r="D40" s="6"/>
      <c r="E40" s="6"/>
    </row>
    <row r="41" customFormat="false" ht="15" hidden="false" customHeight="false" outlineLevel="0" collapsed="false">
      <c r="A41" s="5" t="s">
        <v>87</v>
      </c>
      <c r="B41" s="6"/>
      <c r="C41" s="6"/>
      <c r="D41" s="6"/>
      <c r="E41" s="6"/>
    </row>
    <row r="43" customFormat="false" ht="15" hidden="false" customHeight="true" outlineLevel="0" collapsed="false">
      <c r="A43" s="3" t="s">
        <v>88</v>
      </c>
      <c r="B43" s="3"/>
      <c r="C43" s="3"/>
      <c r="D43" s="3"/>
      <c r="E43" s="3"/>
    </row>
  </sheetData>
  <mergeCells count="24">
    <mergeCell ref="A1:E1"/>
    <mergeCell ref="A2:E2"/>
    <mergeCell ref="A4:E4"/>
    <mergeCell ref="A6:E6"/>
    <mergeCell ref="B7:E7"/>
    <mergeCell ref="B8:E8"/>
    <mergeCell ref="B9:E9"/>
    <mergeCell ref="B10:E10"/>
    <mergeCell ref="B11:E11"/>
    <mergeCell ref="A13:E13"/>
    <mergeCell ref="A19:E19"/>
    <mergeCell ref="A21:E21"/>
    <mergeCell ref="A29:E29"/>
    <mergeCell ref="B31:D31"/>
    <mergeCell ref="B32:D32"/>
    <mergeCell ref="B33:D33"/>
    <mergeCell ref="B34:D34"/>
    <mergeCell ref="B35:D35"/>
    <mergeCell ref="A37:E37"/>
    <mergeCell ref="B38:E38"/>
    <mergeCell ref="B39:E39"/>
    <mergeCell ref="B40:E40"/>
    <mergeCell ref="B41:E41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5" min="3" style="0" width="30"/>
    <col collapsed="false" customWidth="true" hidden="false" outlineLevel="0" max="6" min="6" style="0" width="18"/>
  </cols>
  <sheetData>
    <row r="1" customFormat="false" ht="25.5" hidden="false" customHeight="true" outlineLevel="0" collapsed="false">
      <c r="A1" s="1" t="s">
        <v>89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90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30" hidden="false" customHeight="true" outlineLevel="0" collapsed="false">
      <c r="A6" s="7" t="s">
        <v>91</v>
      </c>
      <c r="B6" s="7" t="s">
        <v>92</v>
      </c>
      <c r="C6" s="7" t="s">
        <v>93</v>
      </c>
      <c r="D6" s="7" t="s">
        <v>94</v>
      </c>
      <c r="E6" s="7" t="s">
        <v>95</v>
      </c>
      <c r="F6" s="7" t="s">
        <v>96</v>
      </c>
    </row>
    <row r="7" customFormat="false" ht="39.75" hidden="false" customHeight="true" outlineLevel="0" collapsed="false">
      <c r="A7" s="8" t="s">
        <v>97</v>
      </c>
      <c r="B7" s="16"/>
      <c r="C7" s="16"/>
      <c r="D7" s="16"/>
      <c r="E7" s="16"/>
      <c r="F7" s="16"/>
    </row>
    <row r="8" customFormat="false" ht="39.75" hidden="false" customHeight="true" outlineLevel="0" collapsed="false">
      <c r="A8" s="8" t="s">
        <v>98</v>
      </c>
      <c r="B8" s="16"/>
      <c r="C8" s="16"/>
      <c r="D8" s="16"/>
      <c r="E8" s="16"/>
      <c r="F8" s="16"/>
    </row>
    <row r="9" customFormat="false" ht="39.75" hidden="false" customHeight="true" outlineLevel="0" collapsed="false">
      <c r="A9" s="8" t="s">
        <v>99</v>
      </c>
      <c r="B9" s="16"/>
      <c r="C9" s="16"/>
      <c r="D9" s="16"/>
      <c r="E9" s="16"/>
      <c r="F9" s="16"/>
    </row>
    <row r="11" customFormat="false" ht="19.4" hidden="false" customHeight="true" outlineLevel="0" collapsed="false">
      <c r="A11" s="3" t="s">
        <v>100</v>
      </c>
      <c r="B11" s="3"/>
      <c r="C11" s="3"/>
      <c r="D11" s="3"/>
      <c r="E11" s="3"/>
      <c r="F11" s="3"/>
    </row>
  </sheetData>
  <mergeCells count="4">
    <mergeCell ref="A1:F1"/>
    <mergeCell ref="A2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101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102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</row>
    <row r="6" customFormat="false" ht="18" hidden="false" customHeight="true" outlineLevel="0" collapsed="false">
      <c r="A6" s="4" t="s">
        <v>103</v>
      </c>
      <c r="B6" s="4"/>
      <c r="C6" s="4"/>
      <c r="D6" s="4"/>
      <c r="E6" s="4"/>
    </row>
    <row r="7" customFormat="false" ht="30" hidden="false" customHeight="true" outlineLevel="0" collapsed="false">
      <c r="A7" s="7" t="s">
        <v>46</v>
      </c>
      <c r="B7" s="7" t="s">
        <v>47</v>
      </c>
      <c r="C7" s="7" t="s">
        <v>48</v>
      </c>
      <c r="D7" s="7"/>
      <c r="E7" s="7" t="s">
        <v>26</v>
      </c>
    </row>
    <row r="8" customFormat="false" ht="15" hidden="false" customHeight="false" outlineLevel="0" collapsed="false">
      <c r="A8" s="14" t="s">
        <v>104</v>
      </c>
      <c r="B8" s="6"/>
      <c r="C8" s="11" t="s">
        <v>105</v>
      </c>
      <c r="D8" s="10"/>
      <c r="E8" s="10"/>
    </row>
    <row r="9" customFormat="false" ht="15" hidden="false" customHeight="false" outlineLevel="0" collapsed="false">
      <c r="A9" s="14" t="s">
        <v>106</v>
      </c>
      <c r="B9" s="6"/>
      <c r="C9" s="10"/>
      <c r="D9" s="10"/>
      <c r="E9" s="10"/>
    </row>
    <row r="10" customFormat="false" ht="15" hidden="false" customHeight="false" outlineLevel="0" collapsed="false">
      <c r="A10" s="14" t="s">
        <v>107</v>
      </c>
      <c r="B10" s="6"/>
      <c r="C10" s="10"/>
      <c r="D10" s="10"/>
      <c r="E10" s="11" t="s">
        <v>108</v>
      </c>
    </row>
    <row r="11" customFormat="false" ht="15" hidden="false" customHeight="false" outlineLevel="0" collapsed="false">
      <c r="A11" s="14" t="s">
        <v>109</v>
      </c>
      <c r="B11" s="6"/>
      <c r="C11" s="10"/>
      <c r="D11" s="10"/>
      <c r="E11" s="11" t="s">
        <v>110</v>
      </c>
    </row>
    <row r="12" customFormat="false" ht="15" hidden="false" customHeight="false" outlineLevel="0" collapsed="false">
      <c r="A12" s="5" t="s">
        <v>111</v>
      </c>
      <c r="B12" s="10"/>
      <c r="C12" s="11" t="s">
        <v>112</v>
      </c>
      <c r="D12" s="17" t="str">
        <f aca="false">IF(OR(B15="",B16="",B8="",B9=""),"",IF(UPPER(B9)="L",(10*B15)+(6.25*B16)-(5*B8)+5,(10*B15)+(6.25*B16)-(5*B8)-161))</f>
        <v/>
      </c>
      <c r="E12" s="10"/>
    </row>
    <row r="13" customFormat="false" ht="15" hidden="false" customHeight="false" outlineLevel="0" collapsed="false">
      <c r="A13" s="5" t="s">
        <v>113</v>
      </c>
      <c r="B13" s="10"/>
      <c r="C13" s="11" t="s">
        <v>112</v>
      </c>
      <c r="D13" s="18" t="str">
        <f aca="false">IF(OR(D12="",B10="",B11=""),"",D12*B10*B11)</f>
        <v/>
      </c>
      <c r="E13" s="10"/>
    </row>
    <row r="14" customFormat="false" ht="19.4" hidden="false" customHeight="true" outlineLevel="0" collapsed="false">
      <c r="A14" s="3" t="s">
        <v>114</v>
      </c>
      <c r="B14" s="3"/>
      <c r="C14" s="3"/>
      <c r="D14" s="3"/>
      <c r="E14" s="3"/>
    </row>
    <row r="16" customFormat="false" ht="18" hidden="false" customHeight="true" outlineLevel="0" collapsed="false">
      <c r="A16" s="4" t="s">
        <v>115</v>
      </c>
      <c r="B16" s="4"/>
      <c r="C16" s="4"/>
      <c r="D16" s="4"/>
      <c r="E16" s="4"/>
    </row>
    <row r="17" customFormat="false" ht="30" hidden="false" customHeight="true" outlineLevel="0" collapsed="false">
      <c r="A17" s="7" t="s">
        <v>116</v>
      </c>
      <c r="B17" s="7" t="s">
        <v>117</v>
      </c>
      <c r="C17" s="7" t="s">
        <v>118</v>
      </c>
      <c r="D17" s="7" t="s">
        <v>119</v>
      </c>
      <c r="E17" s="7" t="s">
        <v>26</v>
      </c>
    </row>
    <row r="18" customFormat="false" ht="15" hidden="false" customHeight="false" outlineLevel="0" collapsed="false">
      <c r="A18" s="14" t="s">
        <v>120</v>
      </c>
      <c r="B18" s="19"/>
      <c r="C18" s="20" t="str">
        <f aca="false">IF(OR($D$13="",B18=""),"",$D$13*B18)</f>
        <v/>
      </c>
      <c r="D18" s="20" t="str">
        <f aca="false">IF(C18="","",C18/4)</f>
        <v/>
      </c>
      <c r="E18" s="11" t="s">
        <v>121</v>
      </c>
    </row>
    <row r="19" customFormat="false" ht="15" hidden="false" customHeight="false" outlineLevel="0" collapsed="false">
      <c r="A19" s="14" t="s">
        <v>122</v>
      </c>
      <c r="B19" s="19"/>
      <c r="C19" s="20" t="str">
        <f aca="false">IF(OR($D$13="",B19=""),"",$D$13*B19)</f>
        <v/>
      </c>
      <c r="D19" s="20" t="str">
        <f aca="false">IF(C19="","",C19/4)</f>
        <v/>
      </c>
      <c r="E19" s="11" t="s">
        <v>121</v>
      </c>
    </row>
    <row r="20" customFormat="false" ht="15" hidden="false" customHeight="false" outlineLevel="0" collapsed="false">
      <c r="A20" s="14" t="s">
        <v>123</v>
      </c>
      <c r="B20" s="19"/>
      <c r="C20" s="20" t="str">
        <f aca="false">IF(OR($D$13="",B20=""),"",$D$13*B20)</f>
        <v/>
      </c>
      <c r="D20" s="20" t="str">
        <f aca="false">IF(C20="","",C20/9)</f>
        <v/>
      </c>
      <c r="E20" s="11" t="s">
        <v>124</v>
      </c>
    </row>
    <row r="22" customFormat="false" ht="18" hidden="false" customHeight="true" outlineLevel="0" collapsed="false">
      <c r="A22" s="4" t="s">
        <v>125</v>
      </c>
      <c r="B22" s="4"/>
      <c r="C22" s="4"/>
      <c r="D22" s="4"/>
      <c r="E22" s="4"/>
    </row>
    <row r="23" customFormat="false" ht="15" hidden="false" customHeight="false" outlineLevel="0" collapsed="false">
      <c r="A23" s="5" t="s">
        <v>126</v>
      </c>
      <c r="B23" s="6"/>
      <c r="C23" s="6"/>
      <c r="D23" s="6"/>
      <c r="E23" s="6"/>
    </row>
    <row r="24" customFormat="false" ht="15" hidden="false" customHeight="false" outlineLevel="0" collapsed="false">
      <c r="A24" s="5" t="s">
        <v>127</v>
      </c>
      <c r="B24" s="6"/>
      <c r="C24" s="6"/>
      <c r="D24" s="6"/>
      <c r="E24" s="6"/>
    </row>
    <row r="25" customFormat="false" ht="15" hidden="false" customHeight="false" outlineLevel="0" collapsed="false">
      <c r="A25" s="5" t="s">
        <v>128</v>
      </c>
      <c r="B25" s="6"/>
      <c r="C25" s="6"/>
      <c r="D25" s="6"/>
      <c r="E25" s="6"/>
    </row>
    <row r="26" customFormat="false" ht="15" hidden="false" customHeight="false" outlineLevel="0" collapsed="false">
      <c r="A26" s="5" t="s">
        <v>129</v>
      </c>
      <c r="B26" s="6"/>
      <c r="C26" s="6"/>
      <c r="D26" s="6"/>
      <c r="E26" s="6"/>
    </row>
    <row r="27" customFormat="false" ht="15" hidden="false" customHeight="false" outlineLevel="0" collapsed="false">
      <c r="A27" s="5" t="s">
        <v>130</v>
      </c>
      <c r="B27" s="6"/>
      <c r="C27" s="6"/>
      <c r="D27" s="6"/>
      <c r="E27" s="6"/>
    </row>
    <row r="28" customFormat="false" ht="15" hidden="false" customHeight="false" outlineLevel="0" collapsed="false">
      <c r="A28" s="5" t="s">
        <v>131</v>
      </c>
      <c r="B28" s="6"/>
      <c r="C28" s="6"/>
      <c r="D28" s="6"/>
      <c r="E28" s="6"/>
    </row>
  </sheetData>
  <mergeCells count="13">
    <mergeCell ref="A1:E1"/>
    <mergeCell ref="A2:E2"/>
    <mergeCell ref="A4:E4"/>
    <mergeCell ref="A6:E6"/>
    <mergeCell ref="A14:E14"/>
    <mergeCell ref="A16:E16"/>
    <mergeCell ref="A22:E22"/>
    <mergeCell ref="B23:E23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6" customFormat="false" ht="30" hidden="false" customHeight="true" outlineLevel="0" collapsed="false">
      <c r="A6" s="7" t="s">
        <v>134</v>
      </c>
      <c r="B6" s="7" t="s">
        <v>135</v>
      </c>
      <c r="C6" s="7" t="s">
        <v>136</v>
      </c>
      <c r="D6" s="7" t="s">
        <v>137</v>
      </c>
      <c r="E6" s="7" t="s">
        <v>138</v>
      </c>
      <c r="F6" s="7" t="s">
        <v>139</v>
      </c>
      <c r="G6" s="7" t="s">
        <v>140</v>
      </c>
      <c r="H6" s="7" t="s">
        <v>141</v>
      </c>
    </row>
    <row r="7" customFormat="false" ht="18" hidden="false" customHeight="true" outlineLevel="0" collapsed="false">
      <c r="A7" s="21"/>
      <c r="B7" s="22"/>
      <c r="C7" s="19"/>
      <c r="D7" s="19"/>
      <c r="E7" s="19"/>
      <c r="F7" s="23" t="str">
        <f aca="false">IF(COUNT(C7:E7)=0,"",AVERAGE(C7:E7))</f>
        <v/>
      </c>
      <c r="G7" s="6"/>
      <c r="H7" s="6"/>
    </row>
    <row r="8" customFormat="false" ht="18" hidden="false" customHeight="true" outlineLevel="0" collapsed="false">
      <c r="A8" s="21"/>
      <c r="B8" s="22"/>
      <c r="C8" s="19"/>
      <c r="D8" s="19"/>
      <c r="E8" s="19"/>
      <c r="F8" s="23" t="str">
        <f aca="false">IF(COUNT(C8:E8)=0,"",AVERAGE(C8:E8))</f>
        <v/>
      </c>
      <c r="G8" s="6"/>
      <c r="H8" s="6"/>
    </row>
    <row r="9" customFormat="false" ht="18" hidden="false" customHeight="true" outlineLevel="0" collapsed="false">
      <c r="A9" s="21"/>
      <c r="B9" s="22"/>
      <c r="C9" s="19"/>
      <c r="D9" s="19"/>
      <c r="E9" s="19"/>
      <c r="F9" s="23" t="str">
        <f aca="false">IF(COUNT(C9:E9)=0,"",AVERAGE(C9:E9))</f>
        <v/>
      </c>
      <c r="G9" s="6"/>
      <c r="H9" s="6"/>
    </row>
    <row r="10" customFormat="false" ht="18" hidden="false" customHeight="true" outlineLevel="0" collapsed="false">
      <c r="A10" s="21"/>
      <c r="B10" s="22"/>
      <c r="C10" s="19"/>
      <c r="D10" s="19"/>
      <c r="E10" s="19"/>
      <c r="F10" s="23" t="str">
        <f aca="false">IF(COUNT(C10:E10)=0,"",AVERAGE(C10:E10))</f>
        <v/>
      </c>
      <c r="G10" s="6"/>
      <c r="H10" s="6"/>
    </row>
    <row r="11" customFormat="false" ht="18" hidden="false" customHeight="true" outlineLevel="0" collapsed="false">
      <c r="A11" s="21"/>
      <c r="B11" s="22"/>
      <c r="C11" s="19"/>
      <c r="D11" s="19"/>
      <c r="E11" s="19"/>
      <c r="F11" s="23" t="str">
        <f aca="false">IF(COUNT(C11:E11)=0,"",AVERAGE(C11:E11))</f>
        <v/>
      </c>
      <c r="G11" s="6"/>
      <c r="H11" s="6"/>
    </row>
    <row r="12" customFormat="false" ht="18" hidden="false" customHeight="true" outlineLevel="0" collapsed="false">
      <c r="A12" s="21"/>
      <c r="B12" s="22"/>
      <c r="C12" s="19"/>
      <c r="D12" s="19"/>
      <c r="E12" s="19"/>
      <c r="F12" s="23" t="str">
        <f aca="false">IF(COUNT(C12:E12)=0,"",AVERAGE(C12:E12))</f>
        <v/>
      </c>
      <c r="G12" s="6"/>
      <c r="H12" s="6"/>
    </row>
    <row r="13" customFormat="false" ht="18" hidden="false" customHeight="true" outlineLevel="0" collapsed="false">
      <c r="A13" s="21"/>
      <c r="B13" s="22"/>
      <c r="C13" s="19"/>
      <c r="D13" s="19"/>
      <c r="E13" s="19"/>
      <c r="F13" s="23" t="str">
        <f aca="false">IF(COUNT(C13:E13)=0,"",AVERAGE(C13:E13))</f>
        <v/>
      </c>
      <c r="G13" s="6"/>
      <c r="H13" s="6"/>
    </row>
    <row r="14" customFormat="false" ht="18" hidden="false" customHeight="true" outlineLevel="0" collapsed="false">
      <c r="A14" s="21"/>
      <c r="B14" s="22"/>
      <c r="C14" s="19"/>
      <c r="D14" s="19"/>
      <c r="E14" s="19"/>
      <c r="F14" s="23" t="str">
        <f aca="false">IF(COUNT(C14:E14)=0,"",AVERAGE(C14:E14))</f>
        <v/>
      </c>
      <c r="G14" s="6"/>
      <c r="H14" s="6"/>
    </row>
    <row r="15" customFormat="false" ht="18" hidden="false" customHeight="true" outlineLevel="0" collapsed="false">
      <c r="A15" s="21"/>
      <c r="B15" s="22"/>
      <c r="C15" s="19"/>
      <c r="D15" s="19"/>
      <c r="E15" s="19"/>
      <c r="F15" s="23" t="str">
        <f aca="false">IF(COUNT(C15:E15)=0,"",AVERAGE(C15:E15))</f>
        <v/>
      </c>
      <c r="G15" s="6"/>
      <c r="H15" s="6"/>
    </row>
    <row r="16" customFormat="false" ht="18" hidden="false" customHeight="true" outlineLevel="0" collapsed="false">
      <c r="A16" s="21"/>
      <c r="B16" s="22"/>
      <c r="C16" s="19"/>
      <c r="D16" s="19"/>
      <c r="E16" s="19"/>
      <c r="F16" s="23" t="str">
        <f aca="false">IF(COUNT(C16:E16)=0,"",AVERAGE(C16:E16))</f>
        <v/>
      </c>
      <c r="G16" s="6"/>
      <c r="H16" s="6"/>
    </row>
    <row r="17" customFormat="false" ht="18" hidden="false" customHeight="true" outlineLevel="0" collapsed="false">
      <c r="A17" s="21"/>
      <c r="B17" s="22"/>
      <c r="C17" s="19"/>
      <c r="D17" s="19"/>
      <c r="E17" s="19"/>
      <c r="F17" s="23" t="str">
        <f aca="false">IF(COUNT(C17:E17)=0,"",AVERAGE(C17:E17))</f>
        <v/>
      </c>
      <c r="G17" s="6"/>
      <c r="H17" s="6"/>
    </row>
    <row r="18" customFormat="false" ht="18" hidden="false" customHeight="true" outlineLevel="0" collapsed="false">
      <c r="A18" s="21"/>
      <c r="B18" s="22"/>
      <c r="C18" s="19"/>
      <c r="D18" s="19"/>
      <c r="E18" s="19"/>
      <c r="F18" s="23" t="str">
        <f aca="false">IF(COUNT(C18:E18)=0,"",AVERAGE(C18:E18))</f>
        <v/>
      </c>
      <c r="G18" s="6"/>
      <c r="H18" s="6"/>
    </row>
    <row r="19" customFormat="false" ht="18" hidden="false" customHeight="true" outlineLevel="0" collapsed="false">
      <c r="A19" s="21"/>
      <c r="B19" s="22"/>
      <c r="C19" s="19"/>
      <c r="D19" s="19"/>
      <c r="E19" s="19"/>
      <c r="F19" s="23" t="str">
        <f aca="false">IF(COUNT(C19:E19)=0,"",AVERAGE(C19:E19))</f>
        <v/>
      </c>
      <c r="G19" s="6"/>
      <c r="H19" s="6"/>
    </row>
    <row r="20" customFormat="false" ht="18" hidden="false" customHeight="true" outlineLevel="0" collapsed="false">
      <c r="A20" s="21"/>
      <c r="B20" s="22"/>
      <c r="C20" s="19"/>
      <c r="D20" s="19"/>
      <c r="E20" s="19"/>
      <c r="F20" s="23" t="str">
        <f aca="false">IF(COUNT(C20:E20)=0,"",AVERAGE(C20:E20))</f>
        <v/>
      </c>
      <c r="G20" s="6"/>
      <c r="H20" s="6"/>
    </row>
    <row r="21" customFormat="false" ht="15" hidden="false" customHeight="false" outlineLevel="0" collapsed="false">
      <c r="A21" s="24" t="s">
        <v>142</v>
      </c>
      <c r="B21" s="25" t="str">
        <f aca="false">IF(COUNT(B7:B20)=0,"",AVERAGE(B7:B20))</f>
        <v/>
      </c>
      <c r="C21" s="26"/>
      <c r="D21" s="26"/>
      <c r="E21" s="26"/>
      <c r="F21" s="27" t="str">
        <f aca="false">IF(COUNT(F7:F20)=0,"",AVERAGE(F7:F20))</f>
        <v/>
      </c>
      <c r="G21" s="26"/>
      <c r="H21" s="26"/>
    </row>
    <row r="23" customFormat="false" ht="19.4" hidden="false" customHeight="true" outlineLevel="0" collapsed="false">
      <c r="A23" s="3" t="s">
        <v>143</v>
      </c>
      <c r="B23" s="3"/>
      <c r="C23" s="3"/>
      <c r="D23" s="3"/>
      <c r="E23" s="3"/>
      <c r="F23" s="3"/>
      <c r="G23" s="3"/>
      <c r="H23" s="3"/>
    </row>
  </sheetData>
  <mergeCells count="4">
    <mergeCell ref="A1:H1"/>
    <mergeCell ref="A2:H2"/>
    <mergeCell ref="A4:H4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0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" t="s">
        <v>144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145</v>
      </c>
      <c r="B2" s="2"/>
      <c r="C2" s="2"/>
      <c r="D2" s="2"/>
      <c r="E2" s="2"/>
    </row>
    <row r="4" customFormat="false" ht="24" hidden="false" customHeight="true" outlineLevel="0" collapsed="false">
      <c r="A4" s="3" t="s">
        <v>2</v>
      </c>
      <c r="B4" s="3"/>
      <c r="C4" s="3"/>
      <c r="D4" s="3"/>
      <c r="E4" s="3"/>
    </row>
    <row r="6" customFormat="false" ht="18" hidden="false" customHeight="true" outlineLevel="0" collapsed="false">
      <c r="A6" s="4" t="s">
        <v>146</v>
      </c>
      <c r="B6" s="4"/>
      <c r="C6" s="4"/>
      <c r="D6" s="4"/>
      <c r="E6" s="4"/>
    </row>
    <row r="7" customFormat="false" ht="15" hidden="false" customHeight="false" outlineLevel="0" collapsed="false">
      <c r="A7" s="5" t="s">
        <v>147</v>
      </c>
      <c r="B7" s="6"/>
      <c r="C7" s="6"/>
      <c r="D7" s="6"/>
      <c r="E7" s="6"/>
    </row>
    <row r="8" customFormat="false" ht="15" hidden="false" customHeight="false" outlineLevel="0" collapsed="false">
      <c r="A8" s="5" t="s">
        <v>148</v>
      </c>
      <c r="B8" s="6"/>
      <c r="C8" s="6"/>
      <c r="D8" s="6"/>
      <c r="E8" s="6"/>
    </row>
    <row r="9" customFormat="false" ht="15" hidden="false" customHeight="false" outlineLevel="0" collapsed="false">
      <c r="A9" s="5" t="s">
        <v>149</v>
      </c>
      <c r="B9" s="6"/>
      <c r="C9" s="6"/>
      <c r="D9" s="6"/>
      <c r="E9" s="6"/>
    </row>
    <row r="10" customFormat="false" ht="15" hidden="false" customHeight="false" outlineLevel="0" collapsed="false">
      <c r="A10" s="5" t="s">
        <v>150</v>
      </c>
      <c r="B10" s="6"/>
      <c r="C10" s="6"/>
      <c r="D10" s="6"/>
      <c r="E10" s="6"/>
    </row>
    <row r="11" customFormat="false" ht="15" hidden="false" customHeight="false" outlineLevel="0" collapsed="false">
      <c r="A11" s="5" t="s">
        <v>151</v>
      </c>
      <c r="B11" s="6"/>
      <c r="C11" s="6"/>
      <c r="D11" s="6"/>
      <c r="E11" s="6"/>
    </row>
    <row r="13" customFormat="false" ht="18" hidden="false" customHeight="true" outlineLevel="0" collapsed="false">
      <c r="A13" s="4" t="s">
        <v>152</v>
      </c>
      <c r="B13" s="4"/>
      <c r="C13" s="4"/>
      <c r="D13" s="4"/>
      <c r="E13" s="4"/>
    </row>
    <row r="14" customFormat="false" ht="15" hidden="false" customHeight="false" outlineLevel="0" collapsed="false">
      <c r="A14" s="5" t="s">
        <v>153</v>
      </c>
      <c r="B14" s="6"/>
      <c r="C14" s="6"/>
      <c r="D14" s="6"/>
      <c r="E14" s="6"/>
    </row>
    <row r="15" customFormat="false" ht="15" hidden="false" customHeight="false" outlineLevel="0" collapsed="false">
      <c r="A15" s="5" t="s">
        <v>154</v>
      </c>
      <c r="B15" s="6"/>
      <c r="C15" s="6"/>
      <c r="D15" s="6"/>
      <c r="E15" s="6"/>
    </row>
    <row r="16" customFormat="false" ht="15" hidden="false" customHeight="false" outlineLevel="0" collapsed="false">
      <c r="A16" s="5" t="s">
        <v>155</v>
      </c>
      <c r="B16" s="6"/>
      <c r="C16" s="6"/>
      <c r="D16" s="6"/>
      <c r="E16" s="6"/>
    </row>
    <row r="17" customFormat="false" ht="15" hidden="false" customHeight="false" outlineLevel="0" collapsed="false">
      <c r="A17" s="5" t="s">
        <v>156</v>
      </c>
      <c r="B17" s="6"/>
      <c r="C17" s="6"/>
      <c r="D17" s="6"/>
      <c r="E17" s="6"/>
    </row>
    <row r="18" customFormat="false" ht="15" hidden="false" customHeight="false" outlineLevel="0" collapsed="false">
      <c r="A18" s="5" t="s">
        <v>157</v>
      </c>
      <c r="B18" s="6"/>
      <c r="C18" s="6"/>
      <c r="D18" s="6"/>
      <c r="E18" s="6"/>
    </row>
    <row r="20" customFormat="false" ht="18" hidden="false" customHeight="true" outlineLevel="0" collapsed="false">
      <c r="A20" s="4" t="s">
        <v>158</v>
      </c>
      <c r="B20" s="4"/>
      <c r="C20" s="4"/>
      <c r="D20" s="4"/>
      <c r="E20" s="4"/>
    </row>
    <row r="21" customFormat="false" ht="15" hidden="false" customHeight="false" outlineLevel="0" collapsed="false">
      <c r="A21" s="5" t="s">
        <v>159</v>
      </c>
      <c r="B21" s="6"/>
      <c r="C21" s="6"/>
      <c r="D21" s="6"/>
      <c r="E21" s="6"/>
    </row>
    <row r="22" customFormat="false" ht="15" hidden="false" customHeight="false" outlineLevel="0" collapsed="false">
      <c r="A22" s="5" t="s">
        <v>134</v>
      </c>
      <c r="B22" s="6"/>
      <c r="C22" s="6"/>
      <c r="D22" s="6"/>
      <c r="E22" s="6"/>
    </row>
    <row r="23" customFormat="false" ht="15" hidden="false" customHeight="false" outlineLevel="0" collapsed="false">
      <c r="A23" s="5" t="s">
        <v>160</v>
      </c>
      <c r="B23" s="6"/>
      <c r="C23" s="6"/>
      <c r="D23" s="6"/>
      <c r="E23" s="6"/>
    </row>
  </sheetData>
  <mergeCells count="19">
    <mergeCell ref="A1:E1"/>
    <mergeCell ref="A2:E2"/>
    <mergeCell ref="A4:E4"/>
    <mergeCell ref="A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A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8" min="7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162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28" t="s">
        <v>163</v>
      </c>
      <c r="B4" s="29"/>
      <c r="C4" s="29"/>
    </row>
    <row r="5" customFormat="false" ht="24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A7" s="7" t="s">
        <v>164</v>
      </c>
      <c r="B7" s="7" t="s">
        <v>134</v>
      </c>
      <c r="C7" s="7" t="s">
        <v>9</v>
      </c>
      <c r="D7" s="7" t="s">
        <v>165</v>
      </c>
      <c r="E7" s="7" t="s">
        <v>166</v>
      </c>
      <c r="F7" s="7" t="s">
        <v>167</v>
      </c>
      <c r="G7" s="7" t="s">
        <v>168</v>
      </c>
      <c r="H7" s="7" t="s">
        <v>169</v>
      </c>
      <c r="I7" s="7" t="s">
        <v>170</v>
      </c>
    </row>
    <row r="8" customFormat="false" ht="15" hidden="false" customHeight="false" outlineLevel="0" collapsed="false">
      <c r="A8" s="30" t="str">
        <f aca="false">IF(C8="","",1)</f>
        <v/>
      </c>
      <c r="B8" s="31"/>
      <c r="C8" s="16"/>
      <c r="D8" s="16"/>
      <c r="E8" s="16"/>
      <c r="F8" s="16"/>
      <c r="G8" s="16"/>
      <c r="H8" s="16"/>
      <c r="I8" s="16"/>
    </row>
    <row r="9" customFormat="false" ht="15" hidden="false" customHeight="false" outlineLevel="0" collapsed="false">
      <c r="A9" s="30" t="str">
        <f aca="false">IF(C9="","",2)</f>
        <v/>
      </c>
      <c r="B9" s="31"/>
      <c r="C9" s="16"/>
      <c r="D9" s="16"/>
      <c r="E9" s="16"/>
      <c r="F9" s="16"/>
      <c r="G9" s="16"/>
      <c r="H9" s="16"/>
      <c r="I9" s="16"/>
    </row>
    <row r="10" customFormat="false" ht="15" hidden="false" customHeight="false" outlineLevel="0" collapsed="false">
      <c r="A10" s="30" t="str">
        <f aca="false">IF(C10="","",3)</f>
        <v/>
      </c>
      <c r="B10" s="31"/>
      <c r="C10" s="16"/>
      <c r="D10" s="16"/>
      <c r="E10" s="16"/>
      <c r="F10" s="16"/>
      <c r="G10" s="16"/>
      <c r="H10" s="16"/>
      <c r="I10" s="16"/>
    </row>
    <row r="11" customFormat="false" ht="15" hidden="false" customHeight="false" outlineLevel="0" collapsed="false">
      <c r="A11" s="30" t="str">
        <f aca="false">IF(C11="","",4)</f>
        <v/>
      </c>
      <c r="B11" s="31"/>
      <c r="C11" s="16"/>
      <c r="D11" s="16"/>
      <c r="E11" s="16"/>
      <c r="F11" s="16"/>
      <c r="G11" s="16"/>
      <c r="H11" s="16"/>
      <c r="I11" s="16"/>
    </row>
    <row r="12" customFormat="false" ht="15" hidden="false" customHeight="false" outlineLevel="0" collapsed="false">
      <c r="A12" s="30" t="str">
        <f aca="false">IF(C12="","",5)</f>
        <v/>
      </c>
      <c r="B12" s="31"/>
      <c r="C12" s="16"/>
      <c r="D12" s="16"/>
      <c r="E12" s="16"/>
      <c r="F12" s="16"/>
      <c r="G12" s="16"/>
      <c r="H12" s="16"/>
      <c r="I12" s="16"/>
    </row>
    <row r="13" customFormat="false" ht="15" hidden="false" customHeight="false" outlineLevel="0" collapsed="false">
      <c r="A13" s="30" t="str">
        <f aca="false">IF(C13="","",6)</f>
        <v/>
      </c>
      <c r="B13" s="31"/>
      <c r="C13" s="16"/>
      <c r="D13" s="16"/>
      <c r="E13" s="16"/>
      <c r="F13" s="16"/>
      <c r="G13" s="16"/>
      <c r="H13" s="16"/>
      <c r="I13" s="16"/>
    </row>
    <row r="14" customFormat="false" ht="15" hidden="false" customHeight="false" outlineLevel="0" collapsed="false">
      <c r="A14" s="30" t="str">
        <f aca="false">IF(C14="","",7)</f>
        <v/>
      </c>
      <c r="B14" s="31"/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A15" s="30" t="str">
        <f aca="false">IF(C15="","",8)</f>
        <v/>
      </c>
      <c r="B15" s="31"/>
      <c r="C15" s="16"/>
      <c r="D15" s="16"/>
      <c r="E15" s="16"/>
      <c r="F15" s="16"/>
      <c r="G15" s="16"/>
      <c r="H15" s="16"/>
      <c r="I15" s="16"/>
    </row>
    <row r="16" customFormat="false" ht="15" hidden="false" customHeight="false" outlineLevel="0" collapsed="false">
      <c r="A16" s="30" t="str">
        <f aca="false">IF(C16="","",9)</f>
        <v/>
      </c>
      <c r="B16" s="31"/>
      <c r="C16" s="16"/>
      <c r="D16" s="16"/>
      <c r="E16" s="16"/>
      <c r="F16" s="16"/>
      <c r="G16" s="16"/>
      <c r="H16" s="16"/>
      <c r="I16" s="16"/>
    </row>
    <row r="17" customFormat="false" ht="15" hidden="false" customHeight="false" outlineLevel="0" collapsed="false">
      <c r="A17" s="30" t="str">
        <f aca="false">IF(C17="","",10)</f>
        <v/>
      </c>
      <c r="B17" s="31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30" t="str">
        <f aca="false">IF(C18="","",11)</f>
        <v/>
      </c>
      <c r="B18" s="31"/>
      <c r="C18" s="16"/>
      <c r="D18" s="16"/>
      <c r="E18" s="16"/>
      <c r="F18" s="16"/>
      <c r="G18" s="16"/>
      <c r="H18" s="16"/>
      <c r="I18" s="16"/>
    </row>
    <row r="19" customFormat="false" ht="15" hidden="false" customHeight="false" outlineLevel="0" collapsed="false">
      <c r="A19" s="30" t="str">
        <f aca="false">IF(C19="","",12)</f>
        <v/>
      </c>
      <c r="B19" s="31"/>
      <c r="C19" s="16"/>
      <c r="D19" s="16"/>
      <c r="E19" s="16"/>
      <c r="F19" s="16"/>
      <c r="G19" s="16"/>
      <c r="H19" s="16"/>
      <c r="I19" s="16"/>
    </row>
    <row r="20" customFormat="false" ht="15" hidden="false" customHeight="false" outlineLevel="0" collapsed="false">
      <c r="A20" s="30" t="str">
        <f aca="false">IF(C20="","",13)</f>
        <v/>
      </c>
      <c r="B20" s="31"/>
      <c r="C20" s="16"/>
      <c r="D20" s="16"/>
      <c r="E20" s="16"/>
      <c r="F20" s="16"/>
      <c r="G20" s="16"/>
      <c r="H20" s="16"/>
      <c r="I20" s="16"/>
    </row>
    <row r="21" customFormat="false" ht="15" hidden="false" customHeight="false" outlineLevel="0" collapsed="false">
      <c r="A21" s="30" t="str">
        <f aca="false">IF(C21="","",14)</f>
        <v/>
      </c>
      <c r="B21" s="31"/>
      <c r="C21" s="16"/>
      <c r="D21" s="16"/>
      <c r="E21" s="16"/>
      <c r="F21" s="16"/>
      <c r="G21" s="16"/>
      <c r="H21" s="16"/>
      <c r="I21" s="16"/>
    </row>
    <row r="22" customFormat="false" ht="15" hidden="false" customHeight="false" outlineLevel="0" collapsed="false">
      <c r="A22" s="30" t="str">
        <f aca="false">IF(C22="","",15)</f>
        <v/>
      </c>
      <c r="B22" s="31"/>
      <c r="C22" s="16"/>
      <c r="D22" s="16"/>
      <c r="E22" s="16"/>
      <c r="F22" s="16"/>
      <c r="G22" s="16"/>
      <c r="H22" s="16"/>
      <c r="I22" s="16"/>
    </row>
    <row r="23" customFormat="false" ht="15" hidden="false" customHeight="false" outlineLevel="0" collapsed="false">
      <c r="A23" s="30" t="str">
        <f aca="false">IF(C23="","",16)</f>
        <v/>
      </c>
      <c r="B23" s="31"/>
      <c r="C23" s="16"/>
      <c r="D23" s="16"/>
      <c r="E23" s="16"/>
      <c r="F23" s="16"/>
      <c r="G23" s="16"/>
      <c r="H23" s="16"/>
      <c r="I23" s="16"/>
    </row>
    <row r="24" customFormat="false" ht="15" hidden="false" customHeight="false" outlineLevel="0" collapsed="false">
      <c r="A24" s="30" t="str">
        <f aca="false">IF(C24="","",17)</f>
        <v/>
      </c>
      <c r="B24" s="31"/>
      <c r="C24" s="16"/>
      <c r="D24" s="16"/>
      <c r="E24" s="16"/>
      <c r="F24" s="16"/>
      <c r="G24" s="16"/>
      <c r="H24" s="16"/>
      <c r="I24" s="16"/>
    </row>
    <row r="25" customFormat="false" ht="15" hidden="false" customHeight="false" outlineLevel="0" collapsed="false">
      <c r="A25" s="30" t="str">
        <f aca="false">IF(C25="","",18)</f>
        <v/>
      </c>
      <c r="B25" s="31"/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A26" s="30" t="str">
        <f aca="false">IF(C26="","",19)</f>
        <v/>
      </c>
      <c r="B26" s="31"/>
      <c r="C26" s="16"/>
      <c r="D26" s="16"/>
      <c r="E26" s="16"/>
      <c r="F26" s="16"/>
      <c r="G26" s="16"/>
      <c r="H26" s="16"/>
      <c r="I26" s="16"/>
    </row>
    <row r="27" customFormat="false" ht="15" hidden="false" customHeight="false" outlineLevel="0" collapsed="false">
      <c r="A27" s="30" t="str">
        <f aca="false">IF(C27="","",20)</f>
        <v/>
      </c>
      <c r="B27" s="31"/>
      <c r="C27" s="16"/>
      <c r="D27" s="16"/>
      <c r="E27" s="16"/>
      <c r="F27" s="16"/>
      <c r="G27" s="16"/>
      <c r="H27" s="16"/>
      <c r="I27" s="16"/>
    </row>
    <row r="28" customFormat="false" ht="15" hidden="false" customHeight="false" outlineLevel="0" collapsed="false">
      <c r="A28" s="30" t="str">
        <f aca="false">IF(C28="","",21)</f>
        <v/>
      </c>
      <c r="B28" s="31"/>
      <c r="C28" s="16"/>
      <c r="D28" s="16"/>
      <c r="E28" s="16"/>
      <c r="F28" s="16"/>
      <c r="G28" s="16"/>
      <c r="H28" s="16"/>
      <c r="I28" s="16"/>
    </row>
    <row r="29" customFormat="false" ht="15" hidden="false" customHeight="false" outlineLevel="0" collapsed="false">
      <c r="A29" s="30" t="str">
        <f aca="false">IF(C29="","",22)</f>
        <v/>
      </c>
      <c r="B29" s="31"/>
      <c r="C29" s="16"/>
      <c r="D29" s="16"/>
      <c r="E29" s="16"/>
      <c r="F29" s="16"/>
      <c r="G29" s="16"/>
      <c r="H29" s="16"/>
      <c r="I29" s="16"/>
    </row>
    <row r="30" customFormat="false" ht="15" hidden="false" customHeight="false" outlineLevel="0" collapsed="false">
      <c r="A30" s="30" t="str">
        <f aca="false">IF(C30="","",23)</f>
        <v/>
      </c>
      <c r="B30" s="31"/>
      <c r="C30" s="16"/>
      <c r="D30" s="16"/>
      <c r="E30" s="16"/>
      <c r="F30" s="16"/>
      <c r="G30" s="16"/>
      <c r="H30" s="16"/>
      <c r="I30" s="16"/>
    </row>
    <row r="31" customFormat="false" ht="15" hidden="false" customHeight="false" outlineLevel="0" collapsed="false">
      <c r="A31" s="30" t="str">
        <f aca="false">IF(C31="","",24)</f>
        <v/>
      </c>
      <c r="B31" s="31"/>
      <c r="C31" s="16"/>
      <c r="D31" s="16"/>
      <c r="E31" s="16"/>
      <c r="F31" s="16"/>
      <c r="G31" s="16"/>
      <c r="H31" s="16"/>
      <c r="I31" s="16"/>
    </row>
    <row r="32" customFormat="false" ht="15" hidden="false" customHeight="false" outlineLevel="0" collapsed="false">
      <c r="A32" s="30" t="str">
        <f aca="false">IF(C32="","",25)</f>
        <v/>
      </c>
      <c r="B32" s="31"/>
      <c r="C32" s="16"/>
      <c r="D32" s="16"/>
      <c r="E32" s="16"/>
      <c r="F32" s="16"/>
      <c r="G32" s="16"/>
      <c r="H32" s="16"/>
      <c r="I32" s="16"/>
    </row>
    <row r="33" customFormat="false" ht="15" hidden="false" customHeight="false" outlineLevel="0" collapsed="false">
      <c r="A33" s="30" t="str">
        <f aca="false">IF(C33="","",26)</f>
        <v/>
      </c>
      <c r="B33" s="31"/>
      <c r="C33" s="16"/>
      <c r="D33" s="16"/>
      <c r="E33" s="16"/>
      <c r="F33" s="16"/>
      <c r="G33" s="16"/>
      <c r="H33" s="16"/>
      <c r="I33" s="16"/>
    </row>
    <row r="34" customFormat="false" ht="15" hidden="false" customHeight="false" outlineLevel="0" collapsed="false">
      <c r="A34" s="30" t="str">
        <f aca="false">IF(C34="","",27)</f>
        <v/>
      </c>
      <c r="B34" s="31"/>
      <c r="C34" s="16"/>
      <c r="D34" s="16"/>
      <c r="E34" s="16"/>
      <c r="F34" s="16"/>
      <c r="G34" s="16"/>
      <c r="H34" s="16"/>
      <c r="I34" s="16"/>
    </row>
    <row r="35" customFormat="false" ht="15" hidden="false" customHeight="false" outlineLevel="0" collapsed="false">
      <c r="A35" s="30" t="str">
        <f aca="false">IF(C35="","",28)</f>
        <v/>
      </c>
      <c r="B35" s="31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A36" s="30" t="str">
        <f aca="false">IF(C36="","",29)</f>
        <v/>
      </c>
      <c r="B36" s="31"/>
      <c r="C36" s="16"/>
      <c r="D36" s="16"/>
      <c r="E36" s="16"/>
      <c r="F36" s="16"/>
      <c r="G36" s="16"/>
      <c r="H36" s="16"/>
      <c r="I36" s="16"/>
    </row>
    <row r="37" customFormat="false" ht="15" hidden="false" customHeight="false" outlineLevel="0" collapsed="false">
      <c r="A37" s="30" t="str">
        <f aca="false">IF(C37="","",30)</f>
        <v/>
      </c>
      <c r="B37" s="31"/>
      <c r="C37" s="16"/>
      <c r="D37" s="16"/>
      <c r="E37" s="16"/>
      <c r="F37" s="16"/>
      <c r="G37" s="16"/>
      <c r="H37" s="16"/>
      <c r="I37" s="16"/>
    </row>
    <row r="39" customFormat="false" ht="18" hidden="false" customHeight="true" outlineLevel="0" collapsed="false">
      <c r="A39" s="4" t="s">
        <v>171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false" outlineLevel="0" collapsed="false">
      <c r="A40" s="5" t="s">
        <v>172</v>
      </c>
      <c r="B40" s="5"/>
      <c r="C40" s="5"/>
      <c r="D40" s="5"/>
      <c r="E40" s="5"/>
      <c r="F40" s="32" t="n">
        <f aca="false">COUNTA(C8:C37)</f>
        <v>0</v>
      </c>
      <c r="G40" s="32"/>
      <c r="H40" s="10"/>
      <c r="I40" s="10"/>
    </row>
    <row r="41" customFormat="false" ht="15" hidden="false" customHeight="false" outlineLevel="0" collapsed="false">
      <c r="A41" s="5" t="s">
        <v>173</v>
      </c>
      <c r="B41" s="5"/>
      <c r="C41" s="5"/>
      <c r="D41" s="5"/>
      <c r="E41" s="5"/>
      <c r="F41" s="32" t="n">
        <f aca="false">COUNTIF(G8:G37,"Tinggi")</f>
        <v>0</v>
      </c>
      <c r="G41" s="32"/>
      <c r="H41" s="10"/>
      <c r="I41" s="10"/>
    </row>
    <row r="42" customFormat="false" ht="15" hidden="false" customHeight="false" outlineLevel="0" collapsed="false">
      <c r="A42" s="5" t="s">
        <v>174</v>
      </c>
      <c r="B42" s="5"/>
      <c r="C42" s="5"/>
      <c r="D42" s="5"/>
      <c r="E42" s="5"/>
      <c r="F42" s="32" t="n">
        <f aca="false">COUNTIF(G8:G37,"Sedang")</f>
        <v>0</v>
      </c>
      <c r="G42" s="32"/>
      <c r="H42" s="10"/>
      <c r="I42" s="10"/>
    </row>
    <row r="43" customFormat="false" ht="15" hidden="false" customHeight="false" outlineLevel="0" collapsed="false">
      <c r="A43" s="5" t="s">
        <v>175</v>
      </c>
      <c r="B43" s="5"/>
      <c r="C43" s="5"/>
      <c r="D43" s="5"/>
      <c r="E43" s="5"/>
      <c r="F43" s="32" t="n">
        <f aca="false">COUNTIF(G8:G37,"Rendah")</f>
        <v>0</v>
      </c>
      <c r="G43" s="32"/>
      <c r="H43" s="10"/>
      <c r="I43" s="10"/>
    </row>
    <row r="44" customFormat="false" ht="15" hidden="false" customHeight="false" outlineLevel="0" collapsed="false">
      <c r="A44" s="5" t="s">
        <v>176</v>
      </c>
      <c r="B44" s="5"/>
      <c r="C44" s="5"/>
      <c r="D44" s="5"/>
      <c r="E44" s="5"/>
      <c r="F44" s="32" t="n">
        <f aca="false">COUNTIF(I8:I37,"Pulang")</f>
        <v>0</v>
      </c>
      <c r="G44" s="32"/>
      <c r="H44" s="10"/>
      <c r="I44" s="10"/>
    </row>
    <row r="46" customFormat="false" ht="19.4" hidden="false" customHeight="true" outlineLevel="0" collapsed="false">
      <c r="A46" s="3" t="s">
        <v>177</v>
      </c>
      <c r="B46" s="3"/>
      <c r="C46" s="3"/>
      <c r="D46" s="3"/>
      <c r="E46" s="3"/>
      <c r="F46" s="3"/>
      <c r="G46" s="3"/>
      <c r="H46" s="3"/>
      <c r="I46" s="3"/>
    </row>
  </sheetData>
  <mergeCells count="16">
    <mergeCell ref="A1:I1"/>
    <mergeCell ref="A2:I2"/>
    <mergeCell ref="B4:C4"/>
    <mergeCell ref="A5:I5"/>
    <mergeCell ref="A39:I39"/>
    <mergeCell ref="A40:E40"/>
    <mergeCell ref="F40:G40"/>
    <mergeCell ref="A41:E41"/>
    <mergeCell ref="F41:G41"/>
    <mergeCell ref="A42:E42"/>
    <mergeCell ref="F42:G42"/>
    <mergeCell ref="A43:E43"/>
    <mergeCell ref="F43:G43"/>
    <mergeCell ref="A44:E44"/>
    <mergeCell ref="F44:G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2026-07-29T03:47:37Z</dcterms:created>
  <dc:creator>openpyxl</dc:creator>
  <dc:description/>
  <dc:language>en-US</dc:language>
  <cp:lastModifiedBy/>
  <dcterms:modified xsi:type="dcterms:W3CDTF">2026-07-29T03:47:37Z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